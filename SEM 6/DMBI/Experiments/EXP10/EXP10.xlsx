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egree\SEM 6\DMBI\Experiments\EXP10\"/>
    </mc:Choice>
  </mc:AlternateContent>
  <xr:revisionPtr revIDLastSave="0" documentId="13_ncr:1_{0C478648-13FF-4239-AA1D-6A162BBE8E79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Sheet1!$A$1:$G$11</definedName>
  </definedNames>
  <calcPr calcId="191029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2" i="1"/>
  <c r="I3" i="1"/>
  <c r="I4" i="1"/>
  <c r="I5" i="1"/>
  <c r="I6" i="1"/>
  <c r="I7" i="1"/>
  <c r="I8" i="1"/>
  <c r="I9" i="1"/>
  <c r="I10" i="1"/>
  <c r="I11" i="1"/>
  <c r="I2" i="1"/>
  <c r="H3" i="1"/>
  <c r="H4" i="1"/>
  <c r="H5" i="1"/>
  <c r="H6" i="1"/>
  <c r="H7" i="1"/>
  <c r="H8" i="1"/>
  <c r="H9" i="1"/>
  <c r="H10" i="1"/>
  <c r="H11" i="1"/>
  <c r="H2" i="1"/>
</calcChain>
</file>

<file path=xl/sharedStrings.xml><?xml version="1.0" encoding="utf-8"?>
<sst xmlns="http://schemas.openxmlformats.org/spreadsheetml/2006/main" count="56" uniqueCount="33">
  <si>
    <t>StudentID</t>
  </si>
  <si>
    <t>Student Name</t>
  </si>
  <si>
    <t>Subject</t>
  </si>
  <si>
    <t>Marks (Out of 100)</t>
  </si>
  <si>
    <t>Attendance (%)</t>
  </si>
  <si>
    <t>Grade</t>
  </si>
  <si>
    <t>Remarks</t>
  </si>
  <si>
    <t>Aarav Sharma</t>
  </si>
  <si>
    <t>Mathematics</t>
  </si>
  <si>
    <t>A</t>
  </si>
  <si>
    <t>Excellent</t>
  </si>
  <si>
    <t>Vihaan Gupta</t>
  </si>
  <si>
    <t>B</t>
  </si>
  <si>
    <t>Good</t>
  </si>
  <si>
    <t>Ananya Verma</t>
  </si>
  <si>
    <t>C</t>
  </si>
  <si>
    <t>Average</t>
  </si>
  <si>
    <t>Diya Nair</t>
  </si>
  <si>
    <t>D</t>
  </si>
  <si>
    <t>Needs Improvement</t>
  </si>
  <si>
    <t>Arjun Singh</t>
  </si>
  <si>
    <t>Very Good</t>
  </si>
  <si>
    <t>Sara Khan</t>
  </si>
  <si>
    <t>Science</t>
  </si>
  <si>
    <t>Rohan Mehta</t>
  </si>
  <si>
    <t>Kriti Joshi</t>
  </si>
  <si>
    <t>Aditya Patil</t>
  </si>
  <si>
    <t>B+</t>
  </si>
  <si>
    <t>Neha Reddy</t>
  </si>
  <si>
    <t>E</t>
  </si>
  <si>
    <t>Row Labels</t>
  </si>
  <si>
    <t>Grand Total</t>
  </si>
  <si>
    <t>Count of Student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</si>
</sst>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pectre" refreshedDate="46124.672264930552" createdVersion="7" refreshedVersion="7" minRefreshableVersion="3" recordCount="10" xr:uid="{E4EA478B-3FD0-43F3-B19D-19B0A9C928A2}">
  <cacheSource type="worksheet">
    <worksheetSource ref="A1:G11" sheet="Sheet1"/>
  </cacheSource>
  <cacheFields count="7">
    <cacheField name="StudentID" numFmtId="0">
      <sharedItems containsSemiMixedTypes="0" containsString="0" containsNumber="1" containsInteger="1" minValue="101" maxValue="110"/>
    </cacheField>
    <cacheField name="Student Name" numFmtId="0">
      <sharedItems/>
    </cacheField>
    <cacheField name="Subject" numFmtId="0">
      <sharedItems count="2">
        <s v="Science"/>
        <s v="Mathematics"/>
      </sharedItems>
    </cacheField>
    <cacheField name="Marks (Out of 100)" numFmtId="0">
      <sharedItems containsSemiMixedTypes="0" containsString="0" containsNumber="1" containsInteger="1" minValue="38" maxValue="95"/>
    </cacheField>
    <cacheField name="Attendance (%)" numFmtId="0">
      <sharedItems containsSemiMixedTypes="0" containsString="0" containsNumber="1" containsInteger="1" minValue="50" maxValue="98"/>
    </cacheField>
    <cacheField name="Grade" numFmtId="0">
      <sharedItems count="6">
        <s v="A"/>
        <s v="B+"/>
        <s v="B"/>
        <s v="C"/>
        <s v="D"/>
        <s v="E"/>
      </sharedItems>
    </cacheField>
    <cacheField name="Remark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06"/>
    <s v="Sara Khan"/>
    <x v="0"/>
    <n v="95"/>
    <n v="98"/>
    <x v="0"/>
    <s v="Excellent"/>
  </r>
  <r>
    <n v="101"/>
    <s v="Aarav Sharma"/>
    <x v="1"/>
    <n v="92"/>
    <n v="95"/>
    <x v="0"/>
    <s v="Excellent"/>
  </r>
  <r>
    <n v="105"/>
    <s v="Arjun Singh"/>
    <x v="1"/>
    <n v="88"/>
    <n v="90"/>
    <x v="0"/>
    <s v="Very Good"/>
  </r>
  <r>
    <n v="109"/>
    <s v="Aditya Patil"/>
    <x v="0"/>
    <n v="82"/>
    <n v="85"/>
    <x v="1"/>
    <s v="Good"/>
  </r>
  <r>
    <n v="102"/>
    <s v="Vihaan Gupta"/>
    <x v="1"/>
    <n v="78"/>
    <n v="82"/>
    <x v="2"/>
    <s v="Good"/>
  </r>
  <r>
    <n v="107"/>
    <s v="Rohan Mehta"/>
    <x v="0"/>
    <n v="72"/>
    <n v="75"/>
    <x v="2"/>
    <s v="Good"/>
  </r>
  <r>
    <n v="103"/>
    <s v="Ananya Verma"/>
    <x v="1"/>
    <n v="65"/>
    <n v="70"/>
    <x v="3"/>
    <s v="Average"/>
  </r>
  <r>
    <n v="108"/>
    <s v="Kriti Joshi"/>
    <x v="0"/>
    <n v="58"/>
    <n v="65"/>
    <x v="3"/>
    <s v="Average"/>
  </r>
  <r>
    <n v="104"/>
    <s v="Diya Nair"/>
    <x v="1"/>
    <n v="45"/>
    <n v="60"/>
    <x v="4"/>
    <s v="Needs Improvement"/>
  </r>
  <r>
    <n v="110"/>
    <s v="Neha Reddy"/>
    <x v="0"/>
    <n v="38"/>
    <n v="50"/>
    <x v="5"/>
    <s v="Needs Improvemen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96E39B-EFBB-4FF5-BF6A-EC898A61168C}" name="PivotTable1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10" firstHeaderRow="1" firstDataRow="1" firstDataCol="1"/>
  <pivotFields count="7">
    <pivotField showAll="0"/>
    <pivotField dataField="1" showAll="0"/>
    <pivotField showAll="0">
      <items count="3">
        <item x="1"/>
        <item x="0"/>
        <item t="default"/>
      </items>
    </pivotField>
    <pivotField showAll="0"/>
    <pivotField showAll="0"/>
    <pivotField axis="axisRow" showAll="0">
      <items count="7">
        <item x="0"/>
        <item x="2"/>
        <item x="1"/>
        <item x="3"/>
        <item x="4"/>
        <item x="5"/>
        <item t="default"/>
      </items>
    </pivotField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Student Na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CEE65-990A-4D67-992F-534D63788C4C}">
  <dimension ref="A3:B10"/>
  <sheetViews>
    <sheetView workbookViewId="0">
      <selection activeCell="K15" sqref="K15"/>
    </sheetView>
  </sheetViews>
  <sheetFormatPr defaultRowHeight="15"/>
  <cols>
    <col min="1" max="1" width="13.140625" bestFit="1" customWidth="1"/>
    <col min="2" max="2" width="22.140625" bestFit="1" customWidth="1"/>
  </cols>
  <sheetData>
    <row r="3" spans="1:2">
      <c r="A3" s="3" t="s">
        <v>30</v>
      </c>
      <c r="B3" t="s">
        <v>32</v>
      </c>
    </row>
    <row r="4" spans="1:2">
      <c r="A4" s="4" t="s">
        <v>9</v>
      </c>
      <c r="B4" s="5">
        <v>3</v>
      </c>
    </row>
    <row r="5" spans="1:2">
      <c r="A5" s="4" t="s">
        <v>12</v>
      </c>
      <c r="B5" s="5">
        <v>2</v>
      </c>
    </row>
    <row r="6" spans="1:2">
      <c r="A6" s="4" t="s">
        <v>27</v>
      </c>
      <c r="B6" s="5">
        <v>1</v>
      </c>
    </row>
    <row r="7" spans="1:2">
      <c r="A7" s="4" t="s">
        <v>15</v>
      </c>
      <c r="B7" s="5">
        <v>2</v>
      </c>
    </row>
    <row r="8" spans="1:2">
      <c r="A8" s="4" t="s">
        <v>18</v>
      </c>
      <c r="B8" s="5">
        <v>1</v>
      </c>
    </row>
    <row r="9" spans="1:2">
      <c r="A9" s="4" t="s">
        <v>29</v>
      </c>
      <c r="B9" s="5">
        <v>1</v>
      </c>
    </row>
    <row r="10" spans="1:2">
      <c r="A10" s="4" t="s">
        <v>31</v>
      </c>
      <c r="B10" s="5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zoomScale="175" zoomScaleNormal="175" workbookViewId="0">
      <selection activeCell="J18" sqref="J18"/>
    </sheetView>
  </sheetViews>
  <sheetFormatPr defaultRowHeight="15"/>
  <cols>
    <col min="1" max="1" width="9.85546875" bestFit="1" customWidth="1"/>
    <col min="2" max="2" width="14" bestFit="1" customWidth="1"/>
    <col min="3" max="3" width="12.42578125" bestFit="1" customWidth="1"/>
    <col min="4" max="4" width="17.5703125" bestFit="1" customWidth="1"/>
    <col min="5" max="5" width="14.85546875" bestFit="1" customWidth="1"/>
    <col min="6" max="6" width="6.42578125" bestFit="1" customWidth="1"/>
    <col min="7" max="7" width="19.5703125" bestFit="1" customWidth="1"/>
    <col min="10" max="10" width="18.570312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0">
      <c r="A2" s="2">
        <v>106</v>
      </c>
      <c r="B2" s="2" t="s">
        <v>22</v>
      </c>
      <c r="C2" s="2" t="s">
        <v>23</v>
      </c>
      <c r="D2" s="2">
        <v>95</v>
      </c>
      <c r="E2" s="2">
        <v>98</v>
      </c>
      <c r="F2" s="2" t="s">
        <v>9</v>
      </c>
      <c r="G2" s="2" t="s">
        <v>10</v>
      </c>
      <c r="H2" s="6" t="str">
        <f>IF(D2&gt;=50, "Pass", "Fail")</f>
        <v>Pass</v>
      </c>
      <c r="I2" s="6">
        <f>LEN(B2)</f>
        <v>9</v>
      </c>
      <c r="J2" s="6" t="str">
        <f>CONCATENATE(B2, " - ", F2)</f>
        <v>Sara Khan - A</v>
      </c>
    </row>
    <row r="3" spans="1:10">
      <c r="A3" s="2">
        <v>101</v>
      </c>
      <c r="B3" s="2" t="s">
        <v>7</v>
      </c>
      <c r="C3" s="2" t="s">
        <v>8</v>
      </c>
      <c r="D3" s="2">
        <v>92</v>
      </c>
      <c r="E3" s="2">
        <v>95</v>
      </c>
      <c r="F3" s="2" t="s">
        <v>9</v>
      </c>
      <c r="G3" s="2" t="s">
        <v>10</v>
      </c>
      <c r="H3" s="6" t="str">
        <f t="shared" ref="H3:H11" si="0">IF(D3&gt;=50, "Pass", "Fail")</f>
        <v>Pass</v>
      </c>
      <c r="I3" s="6">
        <f t="shared" ref="I3:I11" si="1">LEN(B3)</f>
        <v>12</v>
      </c>
      <c r="J3" s="6" t="str">
        <f t="shared" ref="J3:J11" si="2">CONCATENATE(B3, " - ", F3)</f>
        <v>Aarav Sharma - A</v>
      </c>
    </row>
    <row r="4" spans="1:10">
      <c r="A4" s="2">
        <v>105</v>
      </c>
      <c r="B4" s="2" t="s">
        <v>20</v>
      </c>
      <c r="C4" s="2" t="s">
        <v>8</v>
      </c>
      <c r="D4" s="2">
        <v>88</v>
      </c>
      <c r="E4" s="2">
        <v>90</v>
      </c>
      <c r="F4" s="2" t="s">
        <v>9</v>
      </c>
      <c r="G4" s="2" t="s">
        <v>21</v>
      </c>
      <c r="H4" s="6" t="str">
        <f t="shared" si="0"/>
        <v>Pass</v>
      </c>
      <c r="I4" s="6">
        <f t="shared" si="1"/>
        <v>11</v>
      </c>
      <c r="J4" s="6" t="str">
        <f t="shared" si="2"/>
        <v>Arjun Singh - A</v>
      </c>
    </row>
    <row r="5" spans="1:10">
      <c r="A5" s="2">
        <v>109</v>
      </c>
      <c r="B5" s="2" t="s">
        <v>26</v>
      </c>
      <c r="C5" s="2" t="s">
        <v>23</v>
      </c>
      <c r="D5" s="2">
        <v>82</v>
      </c>
      <c r="E5" s="2">
        <v>85</v>
      </c>
      <c r="F5" s="2" t="s">
        <v>27</v>
      </c>
      <c r="G5" s="2" t="s">
        <v>13</v>
      </c>
      <c r="H5" s="6" t="str">
        <f t="shared" si="0"/>
        <v>Pass</v>
      </c>
      <c r="I5" s="6">
        <f t="shared" si="1"/>
        <v>12</v>
      </c>
      <c r="J5" s="6" t="str">
        <f t="shared" si="2"/>
        <v>Aditya Patil - B+</v>
      </c>
    </row>
    <row r="6" spans="1:10">
      <c r="A6" s="2">
        <v>102</v>
      </c>
      <c r="B6" s="2" t="s">
        <v>11</v>
      </c>
      <c r="C6" s="2" t="s">
        <v>8</v>
      </c>
      <c r="D6" s="2">
        <v>78</v>
      </c>
      <c r="E6" s="2">
        <v>82</v>
      </c>
      <c r="F6" s="2" t="s">
        <v>12</v>
      </c>
      <c r="G6" s="2" t="s">
        <v>13</v>
      </c>
      <c r="H6" s="6" t="str">
        <f t="shared" si="0"/>
        <v>Pass</v>
      </c>
      <c r="I6" s="6">
        <f t="shared" si="1"/>
        <v>12</v>
      </c>
      <c r="J6" s="6" t="str">
        <f t="shared" si="2"/>
        <v>Vihaan Gupta - B</v>
      </c>
    </row>
    <row r="7" spans="1:10">
      <c r="A7" s="2">
        <v>107</v>
      </c>
      <c r="B7" s="2" t="s">
        <v>24</v>
      </c>
      <c r="C7" s="2" t="s">
        <v>23</v>
      </c>
      <c r="D7" s="2">
        <v>72</v>
      </c>
      <c r="E7" s="2">
        <v>75</v>
      </c>
      <c r="F7" s="2" t="s">
        <v>12</v>
      </c>
      <c r="G7" s="2" t="s">
        <v>13</v>
      </c>
      <c r="H7" s="6" t="str">
        <f t="shared" si="0"/>
        <v>Pass</v>
      </c>
      <c r="I7" s="6">
        <f t="shared" si="1"/>
        <v>11</v>
      </c>
      <c r="J7" s="6" t="str">
        <f t="shared" si="2"/>
        <v>Rohan Mehta - B</v>
      </c>
    </row>
    <row r="8" spans="1:10">
      <c r="A8" s="2">
        <v>103</v>
      </c>
      <c r="B8" s="2" t="s">
        <v>14</v>
      </c>
      <c r="C8" s="2" t="s">
        <v>8</v>
      </c>
      <c r="D8" s="2">
        <v>65</v>
      </c>
      <c r="E8" s="2">
        <v>70</v>
      </c>
      <c r="F8" s="2" t="s">
        <v>15</v>
      </c>
      <c r="G8" s="2" t="s">
        <v>16</v>
      </c>
      <c r="H8" s="6" t="str">
        <f t="shared" si="0"/>
        <v>Pass</v>
      </c>
      <c r="I8" s="6">
        <f t="shared" si="1"/>
        <v>12</v>
      </c>
      <c r="J8" s="6" t="str">
        <f t="shared" si="2"/>
        <v>Ananya Verma - C</v>
      </c>
    </row>
    <row r="9" spans="1:10">
      <c r="A9" s="2">
        <v>108</v>
      </c>
      <c r="B9" s="2" t="s">
        <v>25</v>
      </c>
      <c r="C9" s="2" t="s">
        <v>23</v>
      </c>
      <c r="D9" s="2">
        <v>58</v>
      </c>
      <c r="E9" s="2">
        <v>65</v>
      </c>
      <c r="F9" s="2" t="s">
        <v>15</v>
      </c>
      <c r="G9" s="2" t="s">
        <v>16</v>
      </c>
      <c r="H9" s="6" t="str">
        <f t="shared" si="0"/>
        <v>Pass</v>
      </c>
      <c r="I9" s="6">
        <f t="shared" si="1"/>
        <v>11</v>
      </c>
      <c r="J9" s="6" t="str">
        <f t="shared" si="2"/>
        <v>Kriti Joshi - C</v>
      </c>
    </row>
    <row r="10" spans="1:10">
      <c r="A10" s="2">
        <v>104</v>
      </c>
      <c r="B10" s="2" t="s">
        <v>17</v>
      </c>
      <c r="C10" s="2" t="s">
        <v>8</v>
      </c>
      <c r="D10" s="2">
        <v>45</v>
      </c>
      <c r="E10" s="2">
        <v>60</v>
      </c>
      <c r="F10" s="2" t="s">
        <v>18</v>
      </c>
      <c r="G10" s="2" t="s">
        <v>19</v>
      </c>
      <c r="H10" s="6" t="str">
        <f t="shared" si="0"/>
        <v>Fail</v>
      </c>
      <c r="I10" s="6">
        <f t="shared" si="1"/>
        <v>9</v>
      </c>
      <c r="J10" s="6" t="str">
        <f t="shared" si="2"/>
        <v>Diya Nair - D</v>
      </c>
    </row>
    <row r="11" spans="1:10">
      <c r="A11" s="2">
        <v>110</v>
      </c>
      <c r="B11" s="2" t="s">
        <v>28</v>
      </c>
      <c r="C11" s="2" t="s">
        <v>23</v>
      </c>
      <c r="D11" s="2">
        <v>38</v>
      </c>
      <c r="E11" s="2">
        <v>50</v>
      </c>
      <c r="F11" s="2" t="s">
        <v>29</v>
      </c>
      <c r="G11" s="2" t="s">
        <v>19</v>
      </c>
      <c r="H11" s="6" t="str">
        <f t="shared" si="0"/>
        <v>Fail</v>
      </c>
      <c r="I11" s="6">
        <f t="shared" si="1"/>
        <v>10</v>
      </c>
      <c r="J11" s="6" t="str">
        <f t="shared" si="2"/>
        <v>Neha Reddy - E</v>
      </c>
    </row>
  </sheetData>
  <autoFilter ref="A1:G11" xr:uid="{00000000-0001-0000-0000-000000000000}"/>
  <sortState xmlns:xlrd2="http://schemas.microsoft.com/office/spreadsheetml/2017/richdata2" ref="A2:G11">
    <sortCondition descending="1" ref="D4:D1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spectre</dc:creator>
  <cp:lastModifiedBy>spectre</cp:lastModifiedBy>
  <dcterms:created xsi:type="dcterms:W3CDTF">2015-06-05T18:17:20Z</dcterms:created>
  <dcterms:modified xsi:type="dcterms:W3CDTF">2026-04-12T10:58:09Z</dcterms:modified>
</cp:coreProperties>
</file>