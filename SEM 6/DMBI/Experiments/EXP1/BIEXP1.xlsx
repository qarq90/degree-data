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gree\SEM 6\BI\Experiments\"/>
    </mc:Choice>
  </mc:AlternateContent>
  <xr:revisionPtr revIDLastSave="0" documentId="13_ncr:1_{DD00CA0A-0D96-4321-ADF6-36780BCC626B}" xr6:coauthVersionLast="47" xr6:coauthVersionMax="47" xr10:uidLastSave="{00000000-0000-0000-0000-000000000000}"/>
  <bookViews>
    <workbookView xWindow="-108" yWindow="-108" windowWidth="23256" windowHeight="12576" xr2:uid="{E20E6914-1105-4BE7-87F0-0603AE49BA5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Sheet1!$A$1:$H$21</definedName>
    <definedName name="_xlchart.v1.0" hidden="1">Sheet3!$J$1</definedName>
    <definedName name="_xlchart.v1.1" hidden="1">Sheet3!$J$2:$J$4</definedName>
    <definedName name="_xlchart.v1.2" hidden="1">Sheet3!$K$1</definedName>
    <definedName name="_xlchart.v1.3" hidden="1">Sheet3!$K$2:$K$4</definedName>
    <definedName name="_xlchart.v1.4" hidden="1">Sheet3!$J$1</definedName>
    <definedName name="_xlchart.v1.5" hidden="1">Sheet3!$J$2:$J$4</definedName>
    <definedName name="_xlchart.v1.6" hidden="1">Sheet3!$K$1</definedName>
    <definedName name="_xlchart.v1.7" hidden="1">Sheet3!$K$2:$K$4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3" l="1" a="1"/>
  <c r="K2" i="3" s="1"/>
  <c r="J2" i="3" a="1"/>
  <c r="J2" i="3" s="1"/>
  <c r="K3" i="2"/>
  <c r="K4" i="2"/>
  <c r="K5" i="2"/>
  <c r="K2" i="2"/>
  <c r="K2" i="1"/>
  <c r="K3" i="1"/>
  <c r="K4" i="1"/>
  <c r="K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<sst xmlns="http://schemas.openxmlformats.org/spreadsheetml/2006/main" count="278" uniqueCount="34">
  <si>
    <t>Customer ID</t>
  </si>
  <si>
    <t>Region</t>
  </si>
  <si>
    <t>City</t>
  </si>
  <si>
    <t>Category</t>
  </si>
  <si>
    <t>Product</t>
  </si>
  <si>
    <t>Quantity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</si>
  <si>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</si>
  <si>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</si>
  <si>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</si>
  <si>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</si>
  <si>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</si>
  <si>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</si>
  <si>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</si>
  <si>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</si>
  <si>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</si>
  <si>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Chips</t>
  </si>
  <si>
    <t>New York</t>
  </si>
  <si>
    <t>San Diego</t>
  </si>
  <si>
    <t>Snacks</t>
  </si>
  <si>
    <t>Oat meal</t>
  </si>
  <si>
    <t>Potato Chips</t>
  </si>
  <si>
    <t>Granola</t>
  </si>
  <si>
    <t>Chocolate Chip</t>
  </si>
  <si>
    <t>Oats</t>
  </si>
  <si>
    <t>Nachos</t>
  </si>
  <si>
    <t>Multigrain</t>
  </si>
  <si>
    <t>Butter</t>
  </si>
  <si>
    <t>Corn Chips</t>
  </si>
  <si>
    <t>Peanut</t>
  </si>
  <si>
    <t>Trail Mix</t>
  </si>
  <si>
    <t>Price ($)</t>
  </si>
  <si>
    <t>Product Rating</t>
  </si>
  <si>
    <t>Count</t>
  </si>
  <si>
    <t>Avg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</si>
</sst>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Sheet1!$J$2:$J$5</c:f>
              <c:strCache>
                <c:ptCount val="4"/>
                <c:pt idx="0">
                  <c:v>Boston</c:v>
                </c:pt>
                <c:pt idx="1">
                  <c:v>New York</c:v>
                </c:pt>
                <c:pt idx="2">
                  <c:v>San Diego</c:v>
                </c:pt>
                <c:pt idx="3">
                  <c:v>Los Angeles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3-4977-8A4F-B0BC3CD1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Sheet2!$J$2:$J$5</c:f>
              <c:strCache>
                <c:ptCount val="4"/>
                <c:pt idx="0">
                  <c:v>Boston</c:v>
                </c:pt>
                <c:pt idx="1">
                  <c:v>New York</c:v>
                </c:pt>
                <c:pt idx="2">
                  <c:v>San Diego</c:v>
                </c:pt>
                <c:pt idx="3">
                  <c:v>Los Angeles</c:v>
                </c:pt>
              </c:strCache>
            </c:strRef>
          </c:cat>
          <c:val>
            <c:numRef>
              <c:f>Sheet2!$K$2:$K$5</c:f>
              <c:numCache>
                <c:formatCode>General</c:formatCode>
                <c:ptCount val="4"/>
                <c:pt idx="0">
                  <c:v>4.1333333333333337</c:v>
                </c:pt>
                <c:pt idx="1">
                  <c:v>4.25</c:v>
                </c:pt>
                <c:pt idx="2">
                  <c:v>4.2249999999999996</c:v>
                </c:pt>
                <c:pt idx="3">
                  <c:v>4.5399999999999991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2-47FC-B78C-C60E5D65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592000"/>
        <c:axId val="750416912"/>
        <c:axId val="0"/>
      </c:bar3DChart>
      <c:catAx>
        <c:axId val="7445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16912"/>
        <c:crosses val="autoZero"/>
        <c:auto val="1"/>
        <c:lblAlgn val="ctr"/>
        <c:lblOffset val="100"/>
        <c:noMultiLvlLbl val="0"/>
      </c:catAx>
      <c:valAx>
        <c:axId val="7504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5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8F1AB43A-4A6E-4B44-9244-7C82907A6938}">
          <cx:tx>
            <cx:txData>
              <cx:f>_xlchart.v1.4</cx:f>
              <cx:v>East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920304-C937-4054-B4B2-FFD47F8BF491}">
          <cx:tx>
            <cx:txData>
              <cx:f>_xlchart.v1.6</cx:f>
              <cx:v>West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601980</xdr:colOff>
      <xdr:row>5</xdr:row>
      <xdr:rowOff>179070</xdr:rowOff>
    </xdr:from>
    <xdr:to>
      <xdr:col>16</xdr:col>
      <xdr:colOff>297180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88F59-4E6D-4124-BBBF-29A59B4C6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11430</xdr:rowOff>
    </xdr:from>
    <xdr:to>
      <xdr:col>14</xdr:col>
      <xdr:colOff>190500</xdr:colOff>
      <xdr:row>20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E9D5C8-870C-4479-934E-00AAB9DCF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594360</xdr:colOff>
      <xdr:row>4</xdr:row>
      <xdr:rowOff>163830</xdr:rowOff>
    </xdr:from>
    <xdr:to>
      <xdr:col>16</xdr:col>
      <xdr:colOff>289560</xdr:colOff>
      <xdr:row>13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71BCC4-7EBF-4A3A-A739-18346D7BD3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1160" y="1443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011F-3E0E-4A47-9BA8-1F6926010A91}">
  <dimension ref="A1:K21"/>
  <sheetViews>
    <sheetView tabSelected="1" workbookViewId="0">
      <selection activeCell="E24" sqref="E24"/>
    </sheetView>
  </sheetViews>
  <sheetFormatPr defaultRowHeight="14.4" x14ac:dyDescent="0.3"/>
  <cols>
    <col min="1" max="1" width="13.5546875" customWidth="1"/>
    <col min="2" max="2" width="10.77734375" customWidth="1"/>
    <col min="3" max="3" width="16" customWidth="1"/>
    <col min="4" max="4" width="16.6640625" customWidth="1"/>
    <col min="5" max="5" width="18.77734375" customWidth="1"/>
    <col min="6" max="6" width="13.109375" customWidth="1"/>
    <col min="7" max="7" width="12" customWidth="1"/>
    <col min="8" max="8" width="16.77734375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s="3" t="s">
        <v>31</v>
      </c>
      <c r="J1" s="3" t="s">
        <v>2</v>
      </c>
      <c r="K1" s="3" t="s">
        <v>32</v>
      </c>
    </row>
    <row r="2" spans="1:11" x14ac:dyDescent="0.3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>
        <v>27</v>
      </c>
      <c r="G2" s="4">
        <v>3.5</v>
      </c>
      <c r="H2" s="4">
        <v>4.2</v>
      </c>
      <c r="J2" s="4" t="s">
        <v>7</v>
      </c>
      <c r="K2" s="4">
        <f>COUNTIF(C2:C21, J2)</f>
        <v>6</v>
      </c>
    </row>
    <row r="3" spans="1:11" x14ac:dyDescent="0.3">
      <c r="A3" s="1">
        <v>2</v>
      </c>
      <c r="B3" s="4" t="s">
        <v>6</v>
      </c>
      <c r="C3" s="4" t="s">
        <v>7</v>
      </c>
      <c r="D3" s="4" t="s">
        <v>10</v>
      </c>
      <c r="E3" s="4" t="s">
        <v>11</v>
      </c>
      <c r="F3" s="4">
        <v>40</v>
      </c>
      <c r="G3" s="4">
        <v>2.8</v>
      </c>
      <c r="H3" s="4">
        <v>3.8</v>
      </c>
      <c r="J3" s="4" t="s">
        <v>16</v>
      </c>
      <c r="K3" s="4">
        <f t="shared" ref="K3:K5" si="0">COUNTIF(C3:C22, J3)</f>
        <v>4</v>
      </c>
    </row>
    <row r="4" spans="1:11" ht="15" customHeight="1" x14ac:dyDescent="0.3">
      <c r="A4" s="1">
        <v>3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20</v>
      </c>
      <c r="G4" s="4">
        <v>4.2</v>
      </c>
      <c r="H4" s="4">
        <v>4</v>
      </c>
      <c r="J4" s="4" t="s">
        <v>17</v>
      </c>
      <c r="K4" s="4">
        <f t="shared" si="0"/>
        <v>4</v>
      </c>
    </row>
    <row r="5" spans="1:11" ht="16.8" customHeight="1" x14ac:dyDescent="0.3">
      <c r="A5" s="1">
        <v>4</v>
      </c>
      <c r="B5" s="4" t="s">
        <v>6</v>
      </c>
      <c r="C5" s="4" t="s">
        <v>16</v>
      </c>
      <c r="D5" s="4" t="s">
        <v>8</v>
      </c>
      <c r="E5" s="4" t="s">
        <v>9</v>
      </c>
      <c r="F5" s="4">
        <v>43</v>
      </c>
      <c r="G5" s="4">
        <v>5.0999999999999996</v>
      </c>
      <c r="H5" s="4">
        <v>4.5</v>
      </c>
      <c r="J5" s="4" t="s">
        <v>13</v>
      </c>
      <c r="K5" s="4">
        <f t="shared" si="0"/>
        <v>5</v>
      </c>
    </row>
    <row r="6" spans="1:11" x14ac:dyDescent="0.3">
      <c r="A6" s="1">
        <v>5</v>
      </c>
      <c r="B6" s="4" t="s">
        <v>12</v>
      </c>
      <c r="C6" s="4" t="s">
        <v>17</v>
      </c>
      <c r="D6" s="4" t="s">
        <v>18</v>
      </c>
      <c r="E6" s="4" t="s">
        <v>11</v>
      </c>
      <c r="F6" s="4">
        <v>60</v>
      </c>
      <c r="G6" s="4">
        <v>6.4</v>
      </c>
      <c r="H6" s="4">
        <v>3.9</v>
      </c>
    </row>
    <row r="7" spans="1:11" x14ac:dyDescent="0.3">
      <c r="A7" s="1">
        <v>6</v>
      </c>
      <c r="B7" s="4" t="s">
        <v>6</v>
      </c>
      <c r="C7" s="4" t="s">
        <v>13</v>
      </c>
      <c r="D7" s="4" t="s">
        <v>14</v>
      </c>
      <c r="E7" s="4" t="s">
        <v>19</v>
      </c>
      <c r="F7" s="4">
        <v>52</v>
      </c>
      <c r="G7" s="4">
        <v>3.9</v>
      </c>
      <c r="H7" s="4">
        <v>4.0999999999999996</v>
      </c>
    </row>
    <row r="8" spans="1:11" x14ac:dyDescent="0.3">
      <c r="A8" s="1">
        <v>7</v>
      </c>
      <c r="B8" s="4" t="s">
        <v>6</v>
      </c>
      <c r="C8" s="4" t="s">
        <v>7</v>
      </c>
      <c r="D8" s="4" t="s">
        <v>10</v>
      </c>
      <c r="E8" s="4" t="s">
        <v>19</v>
      </c>
      <c r="F8" s="4">
        <v>100</v>
      </c>
      <c r="G8" s="4">
        <v>7.5</v>
      </c>
      <c r="H8" s="4">
        <v>4.5999999999999996</v>
      </c>
    </row>
    <row r="9" spans="1:11" x14ac:dyDescent="0.3">
      <c r="A9" s="1">
        <v>8</v>
      </c>
      <c r="B9" s="4" t="s">
        <v>12</v>
      </c>
      <c r="C9" s="4" t="s">
        <v>13</v>
      </c>
      <c r="D9" s="4" t="s">
        <v>8</v>
      </c>
      <c r="E9" s="4" t="s">
        <v>9</v>
      </c>
      <c r="F9" s="4">
        <v>72</v>
      </c>
      <c r="G9" s="4">
        <v>4.8</v>
      </c>
      <c r="H9" s="4">
        <v>4.3</v>
      </c>
    </row>
    <row r="10" spans="1:11" x14ac:dyDescent="0.3">
      <c r="A10" s="1">
        <v>9</v>
      </c>
      <c r="B10" s="4" t="s">
        <v>6</v>
      </c>
      <c r="C10" s="4" t="s">
        <v>16</v>
      </c>
      <c r="D10" s="4" t="s">
        <v>18</v>
      </c>
      <c r="E10" s="4" t="s">
        <v>20</v>
      </c>
      <c r="F10" s="4">
        <v>91</v>
      </c>
      <c r="G10" s="4">
        <v>6.9</v>
      </c>
      <c r="H10" s="4">
        <v>4.7</v>
      </c>
    </row>
    <row r="11" spans="1:11" x14ac:dyDescent="0.3">
      <c r="A11" s="1">
        <v>10</v>
      </c>
      <c r="B11" s="4" t="s">
        <v>12</v>
      </c>
      <c r="C11" s="4" t="s">
        <v>17</v>
      </c>
      <c r="D11" s="4" t="s">
        <v>10</v>
      </c>
      <c r="E11" s="4" t="s">
        <v>11</v>
      </c>
      <c r="F11" s="4">
        <v>102</v>
      </c>
      <c r="G11" s="4">
        <v>8.1999999999999993</v>
      </c>
      <c r="H11" s="4">
        <v>4.4000000000000004</v>
      </c>
    </row>
    <row r="12" spans="1:11" x14ac:dyDescent="0.3">
      <c r="A12" s="1">
        <v>11</v>
      </c>
      <c r="B12" s="4" t="s">
        <v>6</v>
      </c>
      <c r="C12" s="4" t="s">
        <v>7</v>
      </c>
      <c r="D12" s="4" t="s">
        <v>18</v>
      </c>
      <c r="E12" s="4" t="s">
        <v>21</v>
      </c>
      <c r="F12" s="4">
        <v>55</v>
      </c>
      <c r="G12" s="4">
        <v>5.6</v>
      </c>
      <c r="H12" s="4">
        <v>4</v>
      </c>
    </row>
    <row r="13" spans="1:11" x14ac:dyDescent="0.3">
      <c r="A13" s="1">
        <v>12</v>
      </c>
      <c r="B13" s="4" t="s">
        <v>12</v>
      </c>
      <c r="C13" s="4" t="s">
        <v>13</v>
      </c>
      <c r="D13" s="4" t="s">
        <v>14</v>
      </c>
      <c r="E13" s="4" t="s">
        <v>22</v>
      </c>
      <c r="F13" s="4">
        <v>68</v>
      </c>
      <c r="G13" s="4">
        <v>7.9</v>
      </c>
      <c r="H13" s="4">
        <v>4.8</v>
      </c>
    </row>
    <row r="14" spans="1:11" x14ac:dyDescent="0.3">
      <c r="A14" s="1">
        <v>13</v>
      </c>
      <c r="B14" s="4" t="s">
        <v>6</v>
      </c>
      <c r="C14" s="4" t="s">
        <v>16</v>
      </c>
      <c r="D14" s="4" t="s">
        <v>8</v>
      </c>
      <c r="E14" s="4" t="s">
        <v>23</v>
      </c>
      <c r="F14" s="4">
        <v>49</v>
      </c>
      <c r="G14" s="4">
        <v>4.0999999999999996</v>
      </c>
      <c r="H14" s="4">
        <v>3.7</v>
      </c>
    </row>
    <row r="15" spans="1:11" x14ac:dyDescent="0.3">
      <c r="A15" s="1">
        <v>14</v>
      </c>
      <c r="B15" s="4" t="s">
        <v>12</v>
      </c>
      <c r="C15" s="4" t="s">
        <v>17</v>
      </c>
      <c r="D15" s="4" t="s">
        <v>18</v>
      </c>
      <c r="E15" s="4" t="s">
        <v>24</v>
      </c>
      <c r="F15" s="4">
        <v>77</v>
      </c>
      <c r="G15" s="4">
        <v>6.3</v>
      </c>
      <c r="H15" s="4">
        <v>4.2</v>
      </c>
    </row>
    <row r="16" spans="1:11" x14ac:dyDescent="0.3">
      <c r="A16" s="1">
        <v>15</v>
      </c>
      <c r="B16" s="4" t="s">
        <v>6</v>
      </c>
      <c r="C16" s="4" t="s">
        <v>13</v>
      </c>
      <c r="D16" s="4" t="s">
        <v>10</v>
      </c>
      <c r="E16" s="4" t="s">
        <v>25</v>
      </c>
      <c r="F16" s="4">
        <v>88</v>
      </c>
      <c r="G16" s="4">
        <v>8.6999999999999993</v>
      </c>
      <c r="H16" s="4">
        <v>4.5999999999999996</v>
      </c>
    </row>
    <row r="17" spans="1:8" x14ac:dyDescent="0.3">
      <c r="A17" s="1">
        <v>16</v>
      </c>
      <c r="B17" s="4" t="s">
        <v>6</v>
      </c>
      <c r="C17" s="4" t="s">
        <v>7</v>
      </c>
      <c r="D17" s="4" t="s">
        <v>14</v>
      </c>
      <c r="E17" s="4" t="s">
        <v>26</v>
      </c>
      <c r="F17" s="4">
        <v>34</v>
      </c>
      <c r="G17" s="4">
        <v>2.4</v>
      </c>
      <c r="H17" s="4">
        <v>3.5</v>
      </c>
    </row>
    <row r="18" spans="1:8" x14ac:dyDescent="0.3">
      <c r="A18" s="1">
        <v>17</v>
      </c>
      <c r="B18" s="4" t="s">
        <v>12</v>
      </c>
      <c r="C18" s="4" t="s">
        <v>13</v>
      </c>
      <c r="D18" s="4" t="s">
        <v>18</v>
      </c>
      <c r="E18" s="4" t="s">
        <v>27</v>
      </c>
      <c r="F18" s="4">
        <v>95</v>
      </c>
      <c r="G18" s="4">
        <v>9.1</v>
      </c>
      <c r="H18" s="4">
        <v>4.9000000000000004</v>
      </c>
    </row>
    <row r="19" spans="1:8" x14ac:dyDescent="0.3">
      <c r="A19" s="1">
        <v>18</v>
      </c>
      <c r="B19" s="4" t="s">
        <v>6</v>
      </c>
      <c r="C19" s="4" t="s">
        <v>16</v>
      </c>
      <c r="D19" s="4" t="s">
        <v>10</v>
      </c>
      <c r="E19" s="4" t="s">
        <v>19</v>
      </c>
      <c r="F19" s="4">
        <v>66</v>
      </c>
      <c r="G19" s="4">
        <v>5.2</v>
      </c>
      <c r="H19" s="4">
        <v>4.0999999999999996</v>
      </c>
    </row>
    <row r="20" spans="1:8" x14ac:dyDescent="0.3">
      <c r="A20" s="1">
        <v>19</v>
      </c>
      <c r="B20" s="4" t="s">
        <v>12</v>
      </c>
      <c r="C20" s="4" t="s">
        <v>17</v>
      </c>
      <c r="D20" s="4" t="s">
        <v>8</v>
      </c>
      <c r="E20" s="4" t="s">
        <v>28</v>
      </c>
      <c r="F20" s="4">
        <v>81</v>
      </c>
      <c r="G20" s="4">
        <v>6.8</v>
      </c>
      <c r="H20" s="4">
        <v>4.4000000000000004</v>
      </c>
    </row>
    <row r="21" spans="1:8" x14ac:dyDescent="0.3">
      <c r="A21" s="1">
        <v>20</v>
      </c>
      <c r="B21" s="4" t="s">
        <v>6</v>
      </c>
      <c r="C21" s="4" t="s">
        <v>7</v>
      </c>
      <c r="D21" s="4" t="s">
        <v>18</v>
      </c>
      <c r="E21" s="4" t="s">
        <v>29</v>
      </c>
      <c r="F21" s="4">
        <v>59</v>
      </c>
      <c r="G21" s="4">
        <v>7.3</v>
      </c>
      <c r="H21" s="4">
        <v>4.7</v>
      </c>
    </row>
  </sheetData>
  <autoFilter ref="A1:H21" xr:uid="{48E2011F-3E0E-4A47-9BA8-1F6926010A91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9907-84FD-4E8D-A87C-135AD581EE86}">
  <dimension ref="A1:K21"/>
  <sheetViews>
    <sheetView workbookViewId="0">
      <selection activeCell="P17" sqref="P17"/>
    </sheetView>
  </sheetViews>
  <sheetFormatPr defaultColWidth="12.77734375" defaultRowHeight="14.4" x14ac:dyDescent="0.3"/>
  <cols>
    <col min="1" max="1" width="11.33203125" bestFit="1" customWidth="1"/>
    <col min="2" max="2" width="6.77734375" bestFit="1" customWidth="1"/>
    <col min="3" max="3" width="10.44140625" bestFit="1" customWidth="1"/>
    <col min="4" max="4" width="8.5546875" bestFit="1" customWidth="1"/>
    <col min="5" max="5" width="12.21875" bestFit="1" customWidth="1"/>
    <col min="6" max="6" width="8.33203125" bestFit="1" customWidth="1"/>
    <col min="7" max="7" width="7.88671875" bestFit="1" customWidth="1"/>
    <col min="8" max="8" width="7.6640625" bestFit="1" customWidth="1"/>
  </cols>
  <sheetData>
    <row r="1" spans="1:11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s="3" t="s">
        <v>31</v>
      </c>
      <c r="J1" s="3" t="s">
        <v>2</v>
      </c>
      <c r="K1" s="3" t="s">
        <v>33</v>
      </c>
    </row>
    <row r="2" spans="1:11" x14ac:dyDescent="0.3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>
        <v>27</v>
      </c>
      <c r="G2" s="4">
        <v>3.5</v>
      </c>
      <c r="H2" s="4">
        <v>4.2</v>
      </c>
      <c r="J2" s="4" t="s">
        <v>7</v>
      </c>
      <c r="K2">
        <f>AVERAGEIF(C2:C21,J2,H2:H21)</f>
        <v>4.1333333333333337</v>
      </c>
    </row>
    <row r="3" spans="1:11" x14ac:dyDescent="0.3">
      <c r="A3" s="1">
        <v>2</v>
      </c>
      <c r="B3" s="4" t="s">
        <v>6</v>
      </c>
      <c r="C3" s="4" t="s">
        <v>7</v>
      </c>
      <c r="D3" s="4" t="s">
        <v>10</v>
      </c>
      <c r="E3" s="4" t="s">
        <v>11</v>
      </c>
      <c r="F3" s="4">
        <v>40</v>
      </c>
      <c r="G3" s="4">
        <v>2.8</v>
      </c>
      <c r="H3" s="4">
        <v>3.8</v>
      </c>
      <c r="J3" s="4" t="s">
        <v>16</v>
      </c>
      <c r="K3">
        <f t="shared" ref="K3:K5" si="0">AVERAGEIF(C3:C22,J3,H3:H22)</f>
        <v>4.25</v>
      </c>
    </row>
    <row r="4" spans="1:11" x14ac:dyDescent="0.3">
      <c r="A4" s="1">
        <v>3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20</v>
      </c>
      <c r="G4" s="4">
        <v>4.2</v>
      </c>
      <c r="H4" s="4">
        <v>4</v>
      </c>
      <c r="J4" s="4" t="s">
        <v>17</v>
      </c>
      <c r="K4">
        <f t="shared" si="0"/>
        <v>4.2249999999999996</v>
      </c>
    </row>
    <row r="5" spans="1:11" x14ac:dyDescent="0.3">
      <c r="A5" s="1">
        <v>4</v>
      </c>
      <c r="B5" s="4" t="s">
        <v>6</v>
      </c>
      <c r="C5" s="4" t="s">
        <v>16</v>
      </c>
      <c r="D5" s="4" t="s">
        <v>8</v>
      </c>
      <c r="E5" s="4" t="s">
        <v>9</v>
      </c>
      <c r="F5" s="4">
        <v>43</v>
      </c>
      <c r="G5" s="4">
        <v>5.0999999999999996</v>
      </c>
      <c r="H5" s="4">
        <v>4.5</v>
      </c>
      <c r="J5" s="4" t="s">
        <v>13</v>
      </c>
      <c r="K5">
        <f t="shared" si="0"/>
        <v>4.5399999999999991</v>
      </c>
    </row>
    <row r="6" spans="1:11" x14ac:dyDescent="0.3">
      <c r="A6" s="1">
        <v>5</v>
      </c>
      <c r="B6" s="4" t="s">
        <v>12</v>
      </c>
      <c r="C6" s="4" t="s">
        <v>17</v>
      </c>
      <c r="D6" s="4" t="s">
        <v>18</v>
      </c>
      <c r="E6" s="4" t="s">
        <v>11</v>
      </c>
      <c r="F6" s="4">
        <v>60</v>
      </c>
      <c r="G6" s="4">
        <v>6.4</v>
      </c>
      <c r="H6" s="4">
        <v>3.9</v>
      </c>
    </row>
    <row r="7" spans="1:11" x14ac:dyDescent="0.3">
      <c r="A7" s="1">
        <v>6</v>
      </c>
      <c r="B7" s="4" t="s">
        <v>6</v>
      </c>
      <c r="C7" s="4" t="s">
        <v>13</v>
      </c>
      <c r="D7" s="4" t="s">
        <v>14</v>
      </c>
      <c r="E7" s="4" t="s">
        <v>19</v>
      </c>
      <c r="F7" s="4">
        <v>52</v>
      </c>
      <c r="G7" s="4">
        <v>3.9</v>
      </c>
      <c r="H7" s="4">
        <v>4.0999999999999996</v>
      </c>
    </row>
    <row r="8" spans="1:11" x14ac:dyDescent="0.3">
      <c r="A8" s="1">
        <v>7</v>
      </c>
      <c r="B8" s="4" t="s">
        <v>6</v>
      </c>
      <c r="C8" s="4" t="s">
        <v>7</v>
      </c>
      <c r="D8" s="4" t="s">
        <v>10</v>
      </c>
      <c r="E8" s="4" t="s">
        <v>19</v>
      </c>
      <c r="F8" s="4">
        <v>100</v>
      </c>
      <c r="G8" s="4">
        <v>7.5</v>
      </c>
      <c r="H8" s="4">
        <v>4.5999999999999996</v>
      </c>
    </row>
    <row r="9" spans="1:11" x14ac:dyDescent="0.3">
      <c r="A9" s="1">
        <v>8</v>
      </c>
      <c r="B9" s="4" t="s">
        <v>12</v>
      </c>
      <c r="C9" s="4" t="s">
        <v>13</v>
      </c>
      <c r="D9" s="4" t="s">
        <v>8</v>
      </c>
      <c r="E9" s="4" t="s">
        <v>9</v>
      </c>
      <c r="F9" s="4">
        <v>72</v>
      </c>
      <c r="G9" s="4">
        <v>4.8</v>
      </c>
      <c r="H9" s="4">
        <v>4.3</v>
      </c>
    </row>
    <row r="10" spans="1:11" x14ac:dyDescent="0.3">
      <c r="A10" s="1">
        <v>9</v>
      </c>
      <c r="B10" s="4" t="s">
        <v>6</v>
      </c>
      <c r="C10" s="4" t="s">
        <v>16</v>
      </c>
      <c r="D10" s="4" t="s">
        <v>18</v>
      </c>
      <c r="E10" s="4" t="s">
        <v>20</v>
      </c>
      <c r="F10" s="4">
        <v>91</v>
      </c>
      <c r="G10" s="4">
        <v>6.9</v>
      </c>
      <c r="H10" s="4">
        <v>4.7</v>
      </c>
    </row>
    <row r="11" spans="1:11" x14ac:dyDescent="0.3">
      <c r="A11" s="1">
        <v>10</v>
      </c>
      <c r="B11" s="4" t="s">
        <v>12</v>
      </c>
      <c r="C11" s="4" t="s">
        <v>17</v>
      </c>
      <c r="D11" s="4" t="s">
        <v>10</v>
      </c>
      <c r="E11" s="4" t="s">
        <v>11</v>
      </c>
      <c r="F11" s="4">
        <v>102</v>
      </c>
      <c r="G11" s="4">
        <v>8.1999999999999993</v>
      </c>
      <c r="H11" s="4">
        <v>4.4000000000000004</v>
      </c>
    </row>
    <row r="12" spans="1:11" x14ac:dyDescent="0.3">
      <c r="A12" s="1">
        <v>11</v>
      </c>
      <c r="B12" s="4" t="s">
        <v>6</v>
      </c>
      <c r="C12" s="4" t="s">
        <v>7</v>
      </c>
      <c r="D12" s="4" t="s">
        <v>18</v>
      </c>
      <c r="E12" s="4" t="s">
        <v>21</v>
      </c>
      <c r="F12" s="4">
        <v>55</v>
      </c>
      <c r="G12" s="4">
        <v>5.6</v>
      </c>
      <c r="H12" s="4">
        <v>4</v>
      </c>
    </row>
    <row r="13" spans="1:11" ht="28.8" x14ac:dyDescent="0.3">
      <c r="A13" s="1">
        <v>12</v>
      </c>
      <c r="B13" s="4" t="s">
        <v>12</v>
      </c>
      <c r="C13" s="4" t="s">
        <v>13</v>
      </c>
      <c r="D13" s="4" t="s">
        <v>14</v>
      </c>
      <c r="E13" s="4" t="s">
        <v>22</v>
      </c>
      <c r="F13" s="4">
        <v>68</v>
      </c>
      <c r="G13" s="4">
        <v>7.9</v>
      </c>
      <c r="H13" s="4">
        <v>4.8</v>
      </c>
    </row>
    <row r="14" spans="1:11" x14ac:dyDescent="0.3">
      <c r="A14" s="1">
        <v>13</v>
      </c>
      <c r="B14" s="4" t="s">
        <v>6</v>
      </c>
      <c r="C14" s="4" t="s">
        <v>16</v>
      </c>
      <c r="D14" s="4" t="s">
        <v>8</v>
      </c>
      <c r="E14" s="4" t="s">
        <v>23</v>
      </c>
      <c r="F14" s="4">
        <v>49</v>
      </c>
      <c r="G14" s="4">
        <v>4.0999999999999996</v>
      </c>
      <c r="H14" s="4">
        <v>3.7</v>
      </c>
    </row>
    <row r="15" spans="1:11" x14ac:dyDescent="0.3">
      <c r="A15" s="1">
        <v>14</v>
      </c>
      <c r="B15" s="4" t="s">
        <v>12</v>
      </c>
      <c r="C15" s="4" t="s">
        <v>17</v>
      </c>
      <c r="D15" s="4" t="s">
        <v>18</v>
      </c>
      <c r="E15" s="4" t="s">
        <v>24</v>
      </c>
      <c r="F15" s="4">
        <v>77</v>
      </c>
      <c r="G15" s="4">
        <v>6.3</v>
      </c>
      <c r="H15" s="4">
        <v>4.2</v>
      </c>
    </row>
    <row r="16" spans="1:11" x14ac:dyDescent="0.3">
      <c r="A16" s="1">
        <v>15</v>
      </c>
      <c r="B16" s="4" t="s">
        <v>6</v>
      </c>
      <c r="C16" s="4" t="s">
        <v>13</v>
      </c>
      <c r="D16" s="4" t="s">
        <v>10</v>
      </c>
      <c r="E16" s="4" t="s">
        <v>25</v>
      </c>
      <c r="F16" s="4">
        <v>88</v>
      </c>
      <c r="G16" s="4">
        <v>8.6999999999999993</v>
      </c>
      <c r="H16" s="4">
        <v>4.5999999999999996</v>
      </c>
    </row>
    <row r="17" spans="1:8" x14ac:dyDescent="0.3">
      <c r="A17" s="1">
        <v>16</v>
      </c>
      <c r="B17" s="4" t="s">
        <v>6</v>
      </c>
      <c r="C17" s="4" t="s">
        <v>7</v>
      </c>
      <c r="D17" s="4" t="s">
        <v>14</v>
      </c>
      <c r="E17" s="4" t="s">
        <v>26</v>
      </c>
      <c r="F17" s="4">
        <v>34</v>
      </c>
      <c r="G17" s="4">
        <v>2.4</v>
      </c>
      <c r="H17" s="4">
        <v>3.5</v>
      </c>
    </row>
    <row r="18" spans="1:8" x14ac:dyDescent="0.3">
      <c r="A18" s="1">
        <v>17</v>
      </c>
      <c r="B18" s="4" t="s">
        <v>12</v>
      </c>
      <c r="C18" s="4" t="s">
        <v>13</v>
      </c>
      <c r="D18" s="4" t="s">
        <v>18</v>
      </c>
      <c r="E18" s="4" t="s">
        <v>27</v>
      </c>
      <c r="F18" s="4">
        <v>95</v>
      </c>
      <c r="G18" s="4">
        <v>9.1</v>
      </c>
      <c r="H18" s="4">
        <v>4.9000000000000004</v>
      </c>
    </row>
    <row r="19" spans="1:8" x14ac:dyDescent="0.3">
      <c r="A19" s="1">
        <v>18</v>
      </c>
      <c r="B19" s="4" t="s">
        <v>6</v>
      </c>
      <c r="C19" s="4" t="s">
        <v>16</v>
      </c>
      <c r="D19" s="4" t="s">
        <v>10</v>
      </c>
      <c r="E19" s="4" t="s">
        <v>19</v>
      </c>
      <c r="F19" s="4">
        <v>66</v>
      </c>
      <c r="G19" s="4">
        <v>5.2</v>
      </c>
      <c r="H19" s="4">
        <v>4.0999999999999996</v>
      </c>
    </row>
    <row r="20" spans="1:8" x14ac:dyDescent="0.3">
      <c r="A20" s="1">
        <v>19</v>
      </c>
      <c r="B20" s="4" t="s">
        <v>12</v>
      </c>
      <c r="C20" s="4" t="s">
        <v>17</v>
      </c>
      <c r="D20" s="4" t="s">
        <v>8</v>
      </c>
      <c r="E20" s="4" t="s">
        <v>28</v>
      </c>
      <c r="F20" s="4">
        <v>81</v>
      </c>
      <c r="G20" s="4">
        <v>6.8</v>
      </c>
      <c r="H20" s="4">
        <v>4.4000000000000004</v>
      </c>
    </row>
    <row r="21" spans="1:8" x14ac:dyDescent="0.3">
      <c r="A21" s="1">
        <v>20</v>
      </c>
      <c r="B21" s="4" t="s">
        <v>6</v>
      </c>
      <c r="C21" s="4" t="s">
        <v>7</v>
      </c>
      <c r="D21" s="4" t="s">
        <v>18</v>
      </c>
      <c r="E21" s="4" t="s">
        <v>29</v>
      </c>
      <c r="F21" s="4">
        <v>59</v>
      </c>
      <c r="G21" s="4">
        <v>7.3</v>
      </c>
      <c r="H21" s="4">
        <v>4.7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04D7-50E2-43C9-86A2-689591944150}">
  <dimension ref="A1:K21"/>
  <sheetViews>
    <sheetView workbookViewId="0">
      <selection activeCell="R5" sqref="R5"/>
    </sheetView>
  </sheetViews>
  <sheetFormatPr defaultRowHeight="14.4" x14ac:dyDescent="0.3"/>
  <cols>
    <col min="1" max="1" width="12" customWidth="1"/>
    <col min="2" max="2" width="11.21875" customWidth="1"/>
    <col min="3" max="3" width="16.109375" customWidth="1"/>
    <col min="4" max="4" width="12.33203125" customWidth="1"/>
    <col min="5" max="5" width="13.109375" customWidth="1"/>
    <col min="6" max="6" width="8.33203125" bestFit="1" customWidth="1"/>
    <col min="7" max="7" width="7.88671875" bestFit="1" customWidth="1"/>
    <col min="8" max="8" width="7.6640625" bestFit="1" customWidth="1"/>
    <col min="10" max="10" width="4.44140625" bestFit="1" customWidth="1"/>
    <col min="11" max="11" width="5.21875" bestFit="1" customWidth="1"/>
  </cols>
  <sheetData>
    <row r="1" spans="1:11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30</v>
      </c>
      <c r="H1" s="3" t="s">
        <v>31</v>
      </c>
      <c r="J1" s="3" t="s">
        <v>6</v>
      </c>
      <c r="K1" s="3" t="s">
        <v>12</v>
      </c>
    </row>
    <row r="2" spans="1:11" x14ac:dyDescent="0.3">
      <c r="A2" s="1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>
        <v>27</v>
      </c>
      <c r="G2" s="4">
        <v>3.5</v>
      </c>
      <c r="H2" s="4">
        <v>4.2</v>
      </c>
      <c r="J2" s="4" cm="1">
        <f t="array" ref="J2:J4">_xlfn._xlws.FILTER(F:F,(B:B="East")*(D:D="Bars"))</f>
        <v>27</v>
      </c>
      <c r="K2" cm="1">
        <f t="array" ref="K2:K3">_xlfn._xlws.FILTER(F:F,(B:B="West")*(D:D="Bars"))</f>
        <v>72</v>
      </c>
    </row>
    <row r="3" spans="1:11" x14ac:dyDescent="0.3">
      <c r="A3" s="1">
        <v>2</v>
      </c>
      <c r="B3" s="4" t="s">
        <v>6</v>
      </c>
      <c r="C3" s="4" t="s">
        <v>7</v>
      </c>
      <c r="D3" s="4" t="s">
        <v>10</v>
      </c>
      <c r="E3" s="4" t="s">
        <v>11</v>
      </c>
      <c r="F3" s="4">
        <v>40</v>
      </c>
      <c r="G3" s="4">
        <v>2.8</v>
      </c>
      <c r="H3" s="4">
        <v>3.8</v>
      </c>
      <c r="J3" s="4">
        <v>43</v>
      </c>
      <c r="K3">
        <v>81</v>
      </c>
    </row>
    <row r="4" spans="1:11" x14ac:dyDescent="0.3">
      <c r="A4" s="1">
        <v>3</v>
      </c>
      <c r="B4" s="4" t="s">
        <v>12</v>
      </c>
      <c r="C4" s="4" t="s">
        <v>13</v>
      </c>
      <c r="D4" s="4" t="s">
        <v>14</v>
      </c>
      <c r="E4" s="4" t="s">
        <v>15</v>
      </c>
      <c r="F4" s="4">
        <v>20</v>
      </c>
      <c r="G4" s="4">
        <v>4.2</v>
      </c>
      <c r="H4" s="4">
        <v>4</v>
      </c>
      <c r="J4" s="4">
        <v>49</v>
      </c>
    </row>
    <row r="5" spans="1:11" x14ac:dyDescent="0.3">
      <c r="A5" s="1">
        <v>4</v>
      </c>
      <c r="B5" s="4" t="s">
        <v>6</v>
      </c>
      <c r="C5" s="4" t="s">
        <v>16</v>
      </c>
      <c r="D5" s="4" t="s">
        <v>8</v>
      </c>
      <c r="E5" s="4" t="s">
        <v>9</v>
      </c>
      <c r="F5" s="4">
        <v>43</v>
      </c>
      <c r="G5" s="4">
        <v>5.0999999999999996</v>
      </c>
      <c r="H5" s="4">
        <v>4.5</v>
      </c>
      <c r="J5" s="4"/>
    </row>
    <row r="6" spans="1:11" x14ac:dyDescent="0.3">
      <c r="A6" s="1">
        <v>5</v>
      </c>
      <c r="B6" s="4" t="s">
        <v>12</v>
      </c>
      <c r="C6" s="4" t="s">
        <v>17</v>
      </c>
      <c r="D6" s="4" t="s">
        <v>18</v>
      </c>
      <c r="E6" s="4" t="s">
        <v>11</v>
      </c>
      <c r="F6" s="4">
        <v>60</v>
      </c>
      <c r="G6" s="4">
        <v>6.4</v>
      </c>
      <c r="H6" s="4">
        <v>3.9</v>
      </c>
    </row>
    <row r="7" spans="1:11" x14ac:dyDescent="0.3">
      <c r="A7" s="1">
        <v>6</v>
      </c>
      <c r="B7" s="4" t="s">
        <v>6</v>
      </c>
      <c r="C7" s="4" t="s">
        <v>13</v>
      </c>
      <c r="D7" s="4" t="s">
        <v>14</v>
      </c>
      <c r="E7" s="4" t="s">
        <v>19</v>
      </c>
      <c r="F7" s="4">
        <v>52</v>
      </c>
      <c r="G7" s="4">
        <v>3.9</v>
      </c>
      <c r="H7" s="4">
        <v>4.0999999999999996</v>
      </c>
    </row>
    <row r="8" spans="1:11" x14ac:dyDescent="0.3">
      <c r="A8" s="1">
        <v>7</v>
      </c>
      <c r="B8" s="4" t="s">
        <v>6</v>
      </c>
      <c r="C8" s="4" t="s">
        <v>7</v>
      </c>
      <c r="D8" s="4" t="s">
        <v>10</v>
      </c>
      <c r="E8" s="4" t="s">
        <v>19</v>
      </c>
      <c r="F8" s="4">
        <v>100</v>
      </c>
      <c r="G8" s="4">
        <v>7.5</v>
      </c>
      <c r="H8" s="4">
        <v>4.5999999999999996</v>
      </c>
    </row>
    <row r="9" spans="1:11" x14ac:dyDescent="0.3">
      <c r="A9" s="1">
        <v>8</v>
      </c>
      <c r="B9" s="4" t="s">
        <v>12</v>
      </c>
      <c r="C9" s="4" t="s">
        <v>13</v>
      </c>
      <c r="D9" s="4" t="s">
        <v>8</v>
      </c>
      <c r="E9" s="4" t="s">
        <v>9</v>
      </c>
      <c r="F9" s="4">
        <v>72</v>
      </c>
      <c r="G9" s="4">
        <v>4.8</v>
      </c>
      <c r="H9" s="4">
        <v>4.3</v>
      </c>
    </row>
    <row r="10" spans="1:11" x14ac:dyDescent="0.3">
      <c r="A10" s="1">
        <v>9</v>
      </c>
      <c r="B10" s="4" t="s">
        <v>6</v>
      </c>
      <c r="C10" s="4" t="s">
        <v>16</v>
      </c>
      <c r="D10" s="4" t="s">
        <v>18</v>
      </c>
      <c r="E10" s="4" t="s">
        <v>20</v>
      </c>
      <c r="F10" s="4">
        <v>91</v>
      </c>
      <c r="G10" s="4">
        <v>6.9</v>
      </c>
      <c r="H10" s="4">
        <v>4.7</v>
      </c>
    </row>
    <row r="11" spans="1:11" x14ac:dyDescent="0.3">
      <c r="A11" s="1">
        <v>10</v>
      </c>
      <c r="B11" s="4" t="s">
        <v>12</v>
      </c>
      <c r="C11" s="4" t="s">
        <v>17</v>
      </c>
      <c r="D11" s="4" t="s">
        <v>10</v>
      </c>
      <c r="E11" s="4" t="s">
        <v>11</v>
      </c>
      <c r="F11" s="4">
        <v>102</v>
      </c>
      <c r="G11" s="4">
        <v>8.1999999999999993</v>
      </c>
      <c r="H11" s="4">
        <v>4.4000000000000004</v>
      </c>
    </row>
    <row r="12" spans="1:11" x14ac:dyDescent="0.3">
      <c r="A12" s="1">
        <v>11</v>
      </c>
      <c r="B12" s="4" t="s">
        <v>6</v>
      </c>
      <c r="C12" s="4" t="s">
        <v>7</v>
      </c>
      <c r="D12" s="4" t="s">
        <v>18</v>
      </c>
      <c r="E12" s="4" t="s">
        <v>21</v>
      </c>
      <c r="F12" s="4">
        <v>55</v>
      </c>
      <c r="G12" s="4">
        <v>5.6</v>
      </c>
      <c r="H12" s="4">
        <v>4</v>
      </c>
    </row>
    <row r="13" spans="1:11" ht="28.8" x14ac:dyDescent="0.3">
      <c r="A13" s="1">
        <v>12</v>
      </c>
      <c r="B13" s="4" t="s">
        <v>12</v>
      </c>
      <c r="C13" s="4" t="s">
        <v>13</v>
      </c>
      <c r="D13" s="4" t="s">
        <v>14</v>
      </c>
      <c r="E13" s="4" t="s">
        <v>22</v>
      </c>
      <c r="F13" s="4">
        <v>68</v>
      </c>
      <c r="G13" s="4">
        <v>7.9</v>
      </c>
      <c r="H13" s="4">
        <v>4.8</v>
      </c>
    </row>
    <row r="14" spans="1:11" x14ac:dyDescent="0.3">
      <c r="A14" s="1">
        <v>13</v>
      </c>
      <c r="B14" s="4" t="s">
        <v>6</v>
      </c>
      <c r="C14" s="4" t="s">
        <v>16</v>
      </c>
      <c r="D14" s="4" t="s">
        <v>8</v>
      </c>
      <c r="E14" s="4" t="s">
        <v>23</v>
      </c>
      <c r="F14" s="4">
        <v>49</v>
      </c>
      <c r="G14" s="4">
        <v>4.0999999999999996</v>
      </c>
      <c r="H14" s="4">
        <v>3.7</v>
      </c>
    </row>
    <row r="15" spans="1:11" x14ac:dyDescent="0.3">
      <c r="A15" s="1">
        <v>14</v>
      </c>
      <c r="B15" s="4" t="s">
        <v>12</v>
      </c>
      <c r="C15" s="4" t="s">
        <v>17</v>
      </c>
      <c r="D15" s="4" t="s">
        <v>18</v>
      </c>
      <c r="E15" s="4" t="s">
        <v>24</v>
      </c>
      <c r="F15" s="4">
        <v>77</v>
      </c>
      <c r="G15" s="4">
        <v>6.3</v>
      </c>
      <c r="H15" s="4">
        <v>4.2</v>
      </c>
    </row>
    <row r="16" spans="1:11" x14ac:dyDescent="0.3">
      <c r="A16" s="1">
        <v>15</v>
      </c>
      <c r="B16" s="4" t="s">
        <v>6</v>
      </c>
      <c r="C16" s="4" t="s">
        <v>13</v>
      </c>
      <c r="D16" s="4" t="s">
        <v>10</v>
      </c>
      <c r="E16" s="4" t="s">
        <v>25</v>
      </c>
      <c r="F16" s="4">
        <v>88</v>
      </c>
      <c r="G16" s="4">
        <v>8.6999999999999993</v>
      </c>
      <c r="H16" s="4">
        <v>4.5999999999999996</v>
      </c>
    </row>
    <row r="17" spans="1:8" x14ac:dyDescent="0.3">
      <c r="A17" s="1">
        <v>16</v>
      </c>
      <c r="B17" s="4" t="s">
        <v>6</v>
      </c>
      <c r="C17" s="4" t="s">
        <v>7</v>
      </c>
      <c r="D17" s="4" t="s">
        <v>14</v>
      </c>
      <c r="E17" s="4" t="s">
        <v>26</v>
      </c>
      <c r="F17" s="4">
        <v>34</v>
      </c>
      <c r="G17" s="4">
        <v>2.4</v>
      </c>
      <c r="H17" s="4">
        <v>3.5</v>
      </c>
    </row>
    <row r="18" spans="1:8" x14ac:dyDescent="0.3">
      <c r="A18" s="1">
        <v>17</v>
      </c>
      <c r="B18" s="4" t="s">
        <v>12</v>
      </c>
      <c r="C18" s="4" t="s">
        <v>13</v>
      </c>
      <c r="D18" s="4" t="s">
        <v>18</v>
      </c>
      <c r="E18" s="4" t="s">
        <v>27</v>
      </c>
      <c r="F18" s="4">
        <v>95</v>
      </c>
      <c r="G18" s="4">
        <v>9.1</v>
      </c>
      <c r="H18" s="4">
        <v>4.9000000000000004</v>
      </c>
    </row>
    <row r="19" spans="1:8" x14ac:dyDescent="0.3">
      <c r="A19" s="1">
        <v>18</v>
      </c>
      <c r="B19" s="4" t="s">
        <v>6</v>
      </c>
      <c r="C19" s="4" t="s">
        <v>16</v>
      </c>
      <c r="D19" s="4" t="s">
        <v>10</v>
      </c>
      <c r="E19" s="4" t="s">
        <v>19</v>
      </c>
      <c r="F19" s="4">
        <v>66</v>
      </c>
      <c r="G19" s="4">
        <v>5.2</v>
      </c>
      <c r="H19" s="4">
        <v>4.0999999999999996</v>
      </c>
    </row>
    <row r="20" spans="1:8" x14ac:dyDescent="0.3">
      <c r="A20" s="1">
        <v>19</v>
      </c>
      <c r="B20" s="4" t="s">
        <v>12</v>
      </c>
      <c r="C20" s="4" t="s">
        <v>17</v>
      </c>
      <c r="D20" s="4" t="s">
        <v>8</v>
      </c>
      <c r="E20" s="4" t="s">
        <v>28</v>
      </c>
      <c r="F20" s="4">
        <v>81</v>
      </c>
      <c r="G20" s="4">
        <v>6.8</v>
      </c>
      <c r="H20" s="4">
        <v>4.4000000000000004</v>
      </c>
    </row>
    <row r="21" spans="1:8" x14ac:dyDescent="0.3">
      <c r="A21" s="1">
        <v>20</v>
      </c>
      <c r="B21" s="4" t="s">
        <v>6</v>
      </c>
      <c r="C21" s="4" t="s">
        <v>7</v>
      </c>
      <c r="D21" s="4" t="s">
        <v>18</v>
      </c>
      <c r="E21" s="4" t="s">
        <v>29</v>
      </c>
      <c r="F21" s="4">
        <v>59</v>
      </c>
      <c r="G21" s="4">
        <v>7.3</v>
      </c>
      <c r="H21" s="4">
        <v>4.7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Shaikh</dc:creator>
  <cp:lastModifiedBy>Abdurrahman Qureshi</cp:lastModifiedBy>
  <dcterms:created xsi:type="dcterms:W3CDTF">2026-01-06T05:46:32Z</dcterms:created>
  <dcterms:modified xsi:type="dcterms:W3CDTF">2026-01-13T07:14:48Z</dcterms:modified>
</cp:coreProperties>
</file>